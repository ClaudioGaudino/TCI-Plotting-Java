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UF2MRk+S7mzOY94opyDOt4Dag9qBRFZb+n0IuqOmbs="/>
    </ext>
  </extLst>
</workbook>
</file>

<file path=xl/sharedStrings.xml><?xml version="1.0" encoding="utf-8"?>
<sst xmlns="http://schemas.openxmlformats.org/spreadsheetml/2006/main" count="24" uniqueCount="19">
  <si>
    <t>start su dati cinematica</t>
  </si>
  <si>
    <t>Key images</t>
  </si>
  <si>
    <t>Name</t>
  </si>
  <si>
    <t>Time (s)</t>
  </si>
  <si>
    <t>T assoluto cinematica</t>
  </si>
  <si>
    <t>T relativo cinematica</t>
  </si>
  <si>
    <t>Scarto</t>
  </si>
  <si>
    <t>abs</t>
  </si>
  <si>
    <t>Ingresso 1 (188)</t>
  </si>
  <si>
    <t>Uscita 1 (227)</t>
  </si>
  <si>
    <t>Ingresso 2 (329)</t>
  </si>
  <si>
    <t>Uscita 2 (359)</t>
  </si>
  <si>
    <t>Ingresso 3 (459)</t>
  </si>
  <si>
    <t>Uscita 3 (492)</t>
  </si>
  <si>
    <t>Ingresso 4 (590)</t>
  </si>
  <si>
    <t>Uscita 4 (618)</t>
  </si>
  <si>
    <t>Ingresso 5 (721)</t>
  </si>
  <si>
    <t>Uscita 5 (750)</t>
  </si>
  <si>
    <t>Scarto 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</si>
</sst>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1.0"/>
      <color theme="1"/>
      <name val="Calibri"/>
      <scheme val="minor"/>
    </font>
    <font>
      <color theme="1"/>
      <name val="Calibri"/>
      <scheme val="minor"/>
    </font>
    <font/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2F5B0"/>
        <bgColor rgb="FFD2F5B0"/>
      </patternFill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1" fillId="2" fontId="3" numFmtId="0" xfId="0" applyAlignment="1" applyBorder="1" applyFill="1" applyFont="1">
      <alignment horizontal="center"/>
    </xf>
    <xf borderId="4" fillId="3" fontId="4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4" fillId="0" fontId="4" numFmtId="0" xfId="0" applyBorder="1" applyFont="1"/>
    <xf borderId="4" fillId="0" fontId="4" numFmtId="164" xfId="0" applyBorder="1" applyFont="1" applyNumberFormat="1"/>
    <xf borderId="0" fillId="0" fontId="4" numFmtId="2" xfId="0" applyFont="1" applyNumberFormat="1"/>
    <xf borderId="0" fillId="0" fontId="1" numFmtId="2" xfId="0" applyFont="1" applyNumberFormat="1"/>
    <xf borderId="5" fillId="4" fontId="4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4" fontId="3" numFmtId="2" xfId="0" applyBorder="1" applyFont="1" applyNumberFormat="1"/>
    <xf borderId="5" fillId="4" fontId="4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8.0"/>
    <col customWidth="1" min="3" max="3" width="7.71"/>
    <col customWidth="1" min="4" max="4" width="20.86"/>
    <col customWidth="1" min="5" max="5" width="18.71"/>
    <col customWidth="1" min="6" max="6" width="6.57"/>
    <col customWidth="1" min="7" max="7" width="4.86"/>
    <col customWidth="1" min="8" max="8" width="19.43"/>
    <col customWidth="1" min="9" max="9" width="18.71"/>
    <col customWidth="1" min="10" max="10" width="6.43"/>
    <col customWidth="1" min="11" max="11" width="4.86"/>
    <col customWidth="1" min="12" max="26" width="8.71"/>
  </cols>
  <sheetData>
    <row r="1" ht="14.25" customHeight="1">
      <c r="D1" s="1" t="s">
        <v>0</v>
      </c>
      <c r="E1" s="2"/>
      <c r="F1" s="3"/>
      <c r="G1" s="4">
        <v>9.65</v>
      </c>
    </row>
    <row r="2" ht="14.25" customHeight="1">
      <c r="A2" s="5" t="s">
        <v>1</v>
      </c>
      <c r="B2" s="3"/>
    </row>
    <row r="3" ht="14.25" customHeight="1">
      <c r="A3" s="6" t="s">
        <v>2</v>
      </c>
      <c r="B3" s="6" t="s">
        <v>3</v>
      </c>
      <c r="D3" s="7" t="s">
        <v>4</v>
      </c>
      <c r="E3" s="7" t="s">
        <v>5</v>
      </c>
      <c r="F3" s="8" t="s">
        <v>6</v>
      </c>
      <c r="G3" s="7" t="s">
        <v>7</v>
      </c>
      <c r="H3" s="7" t="s">
        <v>4</v>
      </c>
      <c r="I3" s="7" t="s">
        <v>5</v>
      </c>
      <c r="J3" s="8" t="s">
        <v>6</v>
      </c>
      <c r="K3" s="7" t="s">
        <v>7</v>
      </c>
    </row>
    <row r="4" ht="14.25" customHeight="1">
      <c r="A4" s="9" t="s">
        <v>8</v>
      </c>
      <c r="B4" s="10">
        <v>3.11100006103516</v>
      </c>
      <c r="D4" s="8">
        <v>12.72</v>
      </c>
      <c r="E4" s="8">
        <f>D4-$G$1</f>
        <v>3.07</v>
      </c>
      <c r="F4" s="11">
        <f>B4-E4</f>
        <v>0.04100006104</v>
      </c>
      <c r="G4" s="12">
        <f>ABS(F4)</f>
        <v>0.04100006104</v>
      </c>
    </row>
    <row r="5" ht="14.25" customHeight="1">
      <c r="A5" s="9" t="s">
        <v>9</v>
      </c>
      <c r="B5" s="10">
        <v>3.75699996948242</v>
      </c>
      <c r="F5" s="11"/>
      <c r="G5" s="12"/>
      <c r="H5" s="8">
        <v>13.38</v>
      </c>
      <c r="I5" s="8">
        <f>H5-$G$1</f>
        <v>3.73</v>
      </c>
      <c r="J5" s="11">
        <f>B5-I5</f>
        <v>0.02699996948</v>
      </c>
      <c r="K5" s="12">
        <f>ABS(J5)</f>
        <v>0.02699996948</v>
      </c>
    </row>
    <row r="6" ht="14.25" customHeight="1">
      <c r="A6" s="9" t="s">
        <v>10</v>
      </c>
      <c r="B6" s="10">
        <v>5.44399976730347</v>
      </c>
      <c r="D6" s="8">
        <v>15.07</v>
      </c>
      <c r="E6" s="8">
        <f>D6-$G$1</f>
        <v>5.42</v>
      </c>
      <c r="F6" s="11">
        <f>B6-E6</f>
        <v>0.0239997673</v>
      </c>
      <c r="G6" s="12">
        <f>ABS(F6)</f>
        <v>0.0239997673</v>
      </c>
      <c r="J6" s="11"/>
      <c r="K6" s="12"/>
    </row>
    <row r="7" ht="14.25" customHeight="1">
      <c r="A7" s="9" t="s">
        <v>11</v>
      </c>
      <c r="B7" s="10">
        <v>5.94099998474121</v>
      </c>
      <c r="F7" s="11"/>
      <c r="G7" s="12"/>
      <c r="H7" s="8">
        <v>15.61</v>
      </c>
      <c r="I7" s="8">
        <f>H7-$G$1</f>
        <v>5.96</v>
      </c>
      <c r="J7" s="11">
        <f>B7-I7</f>
        <v>-0.01900001526</v>
      </c>
      <c r="K7" s="12">
        <f>ABS(J7)</f>
        <v>0.01900001526</v>
      </c>
    </row>
    <row r="8" ht="14.25" customHeight="1">
      <c r="A8" s="9" t="s">
        <v>12</v>
      </c>
      <c r="B8" s="10">
        <v>7.59600019454956</v>
      </c>
      <c r="D8" s="8">
        <v>17.27</v>
      </c>
      <c r="E8" s="8">
        <f>D8-$G$1</f>
        <v>7.62</v>
      </c>
      <c r="F8" s="11">
        <f>B8-E8</f>
        <v>-0.02399980545</v>
      </c>
      <c r="G8" s="12">
        <f>ABS(F8)</f>
        <v>0.02399980545</v>
      </c>
      <c r="J8" s="11"/>
      <c r="K8" s="12"/>
    </row>
    <row r="9" ht="14.25" customHeight="1">
      <c r="A9" s="9" t="s">
        <v>13</v>
      </c>
      <c r="B9" s="10">
        <v>8.14200019836426</v>
      </c>
      <c r="F9" s="11"/>
      <c r="G9" s="12"/>
      <c r="H9" s="8">
        <v>17.88</v>
      </c>
      <c r="I9" s="8">
        <f>H9-$G$1</f>
        <v>8.23</v>
      </c>
      <c r="J9" s="11">
        <f>B9-I9</f>
        <v>-0.08799980164</v>
      </c>
      <c r="K9" s="12">
        <f>ABS(J9)</f>
        <v>0.08799980164</v>
      </c>
    </row>
    <row r="10" ht="14.25" customHeight="1">
      <c r="A10" s="9" t="s">
        <v>14</v>
      </c>
      <c r="B10" s="10">
        <v>9.76399993896484</v>
      </c>
      <c r="D10" s="8">
        <v>19.48</v>
      </c>
      <c r="E10" s="8">
        <f>D10-$G$1</f>
        <v>9.83</v>
      </c>
      <c r="F10" s="11">
        <f>B10-E10</f>
        <v>-0.06600006104</v>
      </c>
      <c r="G10" s="12">
        <f>ABS(F10)</f>
        <v>0.06600006104</v>
      </c>
      <c r="J10" s="11"/>
      <c r="K10" s="12"/>
    </row>
    <row r="11" ht="14.25" customHeight="1">
      <c r="A11" s="9" t="s">
        <v>15</v>
      </c>
      <c r="B11" s="10">
        <v>10.2270002365112</v>
      </c>
      <c r="F11" s="11"/>
      <c r="G11" s="12"/>
      <c r="H11" s="8">
        <v>20.07</v>
      </c>
      <c r="I11" s="8">
        <f>H11-$G$1</f>
        <v>10.42</v>
      </c>
      <c r="J11" s="11">
        <f>B11-I11</f>
        <v>-0.1929997635</v>
      </c>
      <c r="K11" s="12">
        <f>ABS(J11)</f>
        <v>0.1929997635</v>
      </c>
    </row>
    <row r="12" ht="14.25" customHeight="1">
      <c r="A12" s="9" t="s">
        <v>16</v>
      </c>
      <c r="B12" s="10">
        <v>11.9309997558594</v>
      </c>
      <c r="D12" s="8">
        <v>21.67</v>
      </c>
      <c r="E12" s="8">
        <f>D12-$G$1</f>
        <v>12.02</v>
      </c>
      <c r="F12" s="11">
        <f>B12-E12</f>
        <v>-0.08900024414</v>
      </c>
      <c r="G12" s="12">
        <f>ABS(F12)</f>
        <v>0.08900024414</v>
      </c>
      <c r="J12" s="11"/>
      <c r="K12" s="12"/>
    </row>
    <row r="13" ht="14.25" customHeight="1">
      <c r="A13" s="9" t="s">
        <v>17</v>
      </c>
      <c r="B13" s="10">
        <v>12.41100025177</v>
      </c>
      <c r="H13" s="8">
        <v>22.17</v>
      </c>
      <c r="I13" s="8">
        <f>H13-$G$1</f>
        <v>12.52</v>
      </c>
      <c r="J13" s="11">
        <f>B13-I13</f>
        <v>-0.1089997482</v>
      </c>
      <c r="K13" s="12">
        <f>ABS(J13)</f>
        <v>0.1089997482</v>
      </c>
    </row>
    <row r="14" ht="14.25" customHeight="1">
      <c r="D14" s="13" t="s">
        <v>18</v>
      </c>
      <c r="E14" s="14"/>
      <c r="F14" s="15"/>
      <c r="G14" s="16">
        <f>AVERAGE(G4:G13)</f>
        <v>0.04879998779</v>
      </c>
      <c r="H14" s="17" t="s">
        <v>18</v>
      </c>
      <c r="I14" s="14"/>
      <c r="J14" s="15"/>
      <c r="K14" s="16">
        <f>AVERAGE(K4:K13)</f>
        <v>0.08719985962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</sheetData>
  <mergeCells count="4">
    <mergeCell ref="A2:B2"/>
    <mergeCell ref="D14:F14"/>
    <mergeCell ref="H14:J14"/>
    <mergeCell ref="D1:F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2025-01-16T13:17:12Z</dcterms:created>
</cp:coreProperties>
</file>